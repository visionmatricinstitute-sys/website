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oad 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2" authorId="0">
      <text>
        <r>
          <rPr>
            <sz val="10"/>
            <rFont val="Arial"/>
            <family val="2"/>
          </rPr>
          <t xml:space="preserve">Simplified estimation formula: Ah = (Load_kW x 1000 x (Backup_min/60)) / (DC_Voltage x Inverter_Efficiency).
For final design, use manufacturer battery discharge curves at your actual load and end-voltage — this rule-of-thumb does not account for battery aging, temperature derating, or discharge-curve non-linearity.</t>
        </r>
      </text>
    </comment>
  </commentList>
</comments>
</file>

<file path=xl/sharedStrings.xml><?xml version="1.0" encoding="utf-8"?>
<sst xmlns="http://schemas.openxmlformats.org/spreadsheetml/2006/main" count="79" uniqueCount="73">
  <si>
    <t xml:space="preserve">VMI Data Center Load Calculation Tool</t>
  </si>
  <si>
    <t xml:space="preserve">Purpose</t>
  </si>
  <si>
    <t xml:space="preserve">A free planning-stage tool to estimate connected load, demand load, and rough UPS/DG/battery sizing for a data center or data hall — built by Vision Matrix Institute (visionmatrixinstitute.com) as a learning resource and a preview of the calculation logic taught in the Data Center Electrical Design Specialist course.</t>
  </si>
  <si>
    <t xml:space="preserve">How to use it</t>
  </si>
  <si>
    <t xml:space="preserve">1. Go to the 'Load Calculator' tab. Replace the example equipment list (blue text) with your own project's loads.</t>
  </si>
  <si>
    <t xml:space="preserve">2. Adjust the yellow-highlighted assumption cells (diversity factors, PUE, safety margins) to match your project.</t>
  </si>
  <si>
    <t xml:space="preserve">3. Read the Totals, UPS Sizing, DG Sizing, and Battery Sizing sections — they update automatically.</t>
  </si>
  <si>
    <t xml:space="preserve">Color legend</t>
  </si>
  <si>
    <t xml:space="preserve">Blue text = an input cell you should edit for your own project.</t>
  </si>
  <si>
    <t xml:space="preserve">Black text = a formula — do not overtype these, or the sheet will stop calculating.</t>
  </si>
  <si>
    <t xml:space="preserve">Yellow fill = a key assumption worth double-checking against your actual project/site conditions.</t>
  </si>
  <si>
    <t xml:space="preserve">Important disclaimer</t>
  </si>
  <si>
    <t xml:space="preserve">This is a planning-stage estimation tool for learning purposes, using simplified industry rule-of-thumb methods. It is NOT a substitute for a detailed engineering study performed against the applicable IS/IEC/NFPA standards for your project, and all outputs must be verified by a qualified electrical engineer before any procurement or design decision. This is exactly the kind of calculation covered in full engineering depth inside VMI's Data Center Electrical Design Specialist course.</t>
  </si>
  <si>
    <t xml:space="preserve">Want the full picture?</t>
  </si>
  <si>
    <t xml:space="preserve">This tool covers Steps 1-5 of a real data center electrical design. Our course covers this end-to-end: SLD preparation, transformer &amp; UPS design, DG systems, cable &amp; busduct sizing, earthing &amp; lightning protection, short-circuit studies in ETAP, and Revit MEP/BIM coordination — taught live by practicing engineers. Learn more at visionmatrixinstitute.com.</t>
  </si>
  <si>
    <t xml:space="preserve">DATA CENTER LOAD CALCULATION WORKSHEET</t>
  </si>
  <si>
    <t xml:space="preserve">Edit the blue example rows below to match your own project. Diversity factors and category labels are typical planning-stage values — verify against your project specifics.</t>
  </si>
  <si>
    <t xml:space="preserve">STEP 1 — LIST YOUR LOADS</t>
  </si>
  <si>
    <t xml:space="preserve">#</t>
  </si>
  <si>
    <t xml:space="preserve">Load / Equipment Description</t>
  </si>
  <si>
    <t xml:space="preserve">Category</t>
  </si>
  <si>
    <t xml:space="preserve">Qty</t>
  </si>
  <si>
    <t xml:space="preserve">Unit Rating (kW)</t>
  </si>
  <si>
    <t xml:space="preserve">Connected Load (kW)</t>
  </si>
  <si>
    <t xml:space="preserve">Diversity Factor</t>
  </si>
  <si>
    <t xml:space="preserve">Demand Load (kW)</t>
  </si>
  <si>
    <t xml:space="preserve">IT Rack — 6kW average server rack</t>
  </si>
  <si>
    <t xml:space="preserve">IT Load</t>
  </si>
  <si>
    <t xml:space="preserve">IT Rack — high-density GPU/AI rack</t>
  </si>
  <si>
    <t xml:space="preserve">CRAC/CRAH cooling unit</t>
  </si>
  <si>
    <t xml:space="preserve">Cooling</t>
  </si>
  <si>
    <t xml:space="preserve">Chiller plant (if applicable)</t>
  </si>
  <si>
    <t xml:space="preserve">Data hall general lighting</t>
  </si>
  <si>
    <t xml:space="preserve">Lighting</t>
  </si>
  <si>
    <t xml:space="preserve">Emergency / egress lighting</t>
  </si>
  <si>
    <t xml:space="preserve">UPS system losses (typ. 6-8% of IT load)</t>
  </si>
  <si>
    <t xml:space="preserve">UPS Losses</t>
  </si>
  <si>
    <t xml:space="preserve">PDU / busway distribution losses</t>
  </si>
  <si>
    <t xml:space="preserve">Distribution Losses</t>
  </si>
  <si>
    <t xml:space="preserve">Fire pump / fire suppression system</t>
  </si>
  <si>
    <t xml:space="preserve">Life Safety</t>
  </si>
  <si>
    <t xml:space="preserve">Office / admin area HVAC</t>
  </si>
  <si>
    <t xml:space="preserve">Auxiliary</t>
  </si>
  <si>
    <t xml:space="preserve">Security systems (CCTV, access control, BMS)</t>
  </si>
  <si>
    <t xml:space="preserve">Elevators / lifts</t>
  </si>
  <si>
    <t xml:space="preserve">Miscellaneous / spare capacity</t>
  </si>
  <si>
    <t xml:space="preserve">TOTAL</t>
  </si>
  <si>
    <t xml:space="preserve">STEP 2 — FACILITY-LEVEL SUMMARY (PUE CHECK)</t>
  </si>
  <si>
    <t xml:space="preserve">Total Connected Load (kW)</t>
  </si>
  <si>
    <t xml:space="preserve">Total Demand Load (kW)</t>
  </si>
  <si>
    <t xml:space="preserve">IT Load Only, Demand Basis (kW)</t>
  </si>
  <si>
    <t xml:space="preserve">Assumed PUE (Power Usage Effectiveness)</t>
  </si>
  <si>
    <t xml:space="preserve">Estimated Total Facility Power via PUE (kW)</t>
  </si>
  <si>
    <t xml:space="preserve">PUE 1.5-1.8 is typical for a well-run enterprise data center; hyperscale facilities often achieve 1.2-1.4.</t>
  </si>
  <si>
    <t xml:space="preserve">STEP 3 — UPS SIZING (ESTIMATE)</t>
  </si>
  <si>
    <t xml:space="preserve">Total Demand Load To Be Protected (kW)</t>
  </si>
  <si>
    <t xml:space="preserve">UPS Safety / Growth Margin (%)</t>
  </si>
  <si>
    <t xml:space="preserve">Assumed UPS Output Power Factor</t>
  </si>
  <si>
    <t xml:space="preserve">Recommended UPS Rating (kVA)</t>
  </si>
  <si>
    <t xml:space="preserve">STEP 4 — STANDBY DG SIZING (ESTIMATE)</t>
  </si>
  <si>
    <t xml:space="preserve">Total Demand Load To Be Backed Up (kW)</t>
  </si>
  <si>
    <t xml:space="preserve">DG Safety / Starting-Load Margin (%)</t>
  </si>
  <si>
    <t xml:space="preserve">Assumed DG Output Power Factor</t>
  </si>
  <si>
    <t xml:space="preserve">Recommended DG Set Rating (kVA)</t>
  </si>
  <si>
    <t xml:space="preserve">DG margin is higher than UPS margin to account for motor starting (inrush) currents from chillers/pumps.</t>
  </si>
  <si>
    <t xml:space="preserve">STEP 5 — BATTERY BACKUP SIZING (SIMPLIFIED ESTIMATE)</t>
  </si>
  <si>
    <t xml:space="preserve">UPS Load To Be Backed Up (kW)</t>
  </si>
  <si>
    <t xml:space="preserve">Required Backup Time (minutes)</t>
  </si>
  <si>
    <t xml:space="preserve">Battery System DC Voltage (V)</t>
  </si>
  <si>
    <t xml:space="preserve">Inverter Efficiency (fraction)</t>
  </si>
  <si>
    <t xml:space="preserve">Estimated Required Battery Capacity (Ah)</t>
  </si>
  <si>
    <t xml:space="preserve">This is a simplified planning estimate — see the cell comment on the result for what it does not account for. Final battery selection should use manufacturer discharge-curve data.</t>
  </si>
  <si>
    <t xml:space="preserve">Built by Vision Matrix Institute — visionmatrixinstitute.com — as a free companion to the Data Center Electrical Design Specialist course. Not a substitute for a licensed engineer's detailed design.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</si>
</sst>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%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0B2447"/>
      <name val="Arial"/>
      <family val="0"/>
      <charset val="1"/>
    </font>
    <font>
      <sz val="10.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2447"/>
        <bgColor rgb="FF333333"/>
      </patternFill>
    </fill>
    <fill>
      <patternFill patternType="solid">
        <fgColor rgb="FFF2F4F7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24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0" hidden="false" customHeight="true" outlineLevel="0" collapsed="false">
      <c r="A1" s="1" t="s">
        <v>0</v>
      </c>
    </row>
    <row r="3" customFormat="false" ht="19.5" hidden="false" customHeight="true" outlineLevel="0" collapsed="false">
      <c r="A3" s="2" t="s">
        <v>1</v>
      </c>
    </row>
    <row r="4" customFormat="false" ht="45" hidden="false" customHeight="true" outlineLevel="0" collapsed="false">
      <c r="A4" s="3" t="s">
        <v>2</v>
      </c>
    </row>
    <row r="5" customFormat="false" ht="19.5" hidden="false" customHeight="true" outlineLevel="0" collapsed="false">
      <c r="A5" s="2" t="s">
        <v>3</v>
      </c>
    </row>
    <row r="6" customFormat="false" ht="45" hidden="false" customHeight="true" outlineLevel="0" collapsed="false">
      <c r="A6" s="3" t="s">
        <v>4</v>
      </c>
    </row>
    <row r="7" customFormat="false" ht="45" hidden="false" customHeight="true" outlineLevel="0" collapsed="false">
      <c r="A7" s="3" t="s">
        <v>5</v>
      </c>
    </row>
    <row r="8" customFormat="false" ht="45" hidden="false" customHeight="true" outlineLevel="0" collapsed="false">
      <c r="A8" s="3" t="s">
        <v>6</v>
      </c>
    </row>
    <row r="9" customFormat="false" ht="19.5" hidden="false" customHeight="true" outlineLevel="0" collapsed="false">
      <c r="A9" s="2" t="s">
        <v>7</v>
      </c>
    </row>
    <row r="10" customFormat="false" ht="45" hidden="false" customHeight="true" outlineLevel="0" collapsed="false">
      <c r="A10" s="3" t="s">
        <v>8</v>
      </c>
    </row>
    <row r="11" customFormat="false" ht="45" hidden="false" customHeight="true" outlineLevel="0" collapsed="false">
      <c r="A11" s="3" t="s">
        <v>9</v>
      </c>
    </row>
    <row r="12" customFormat="false" ht="45" hidden="false" customHeight="true" outlineLevel="0" collapsed="false">
      <c r="A12" s="3" t="s">
        <v>10</v>
      </c>
    </row>
    <row r="13" customFormat="false" ht="19.5" hidden="false" customHeight="true" outlineLevel="0" collapsed="false">
      <c r="A13" s="2" t="s">
        <v>11</v>
      </c>
    </row>
    <row r="14" customFormat="false" ht="45" hidden="false" customHeight="true" outlineLevel="0" collapsed="false">
      <c r="A14" s="3" t="s">
        <v>12</v>
      </c>
    </row>
    <row r="15" customFormat="false" ht="19.5" hidden="false" customHeight="true" outlineLevel="0" collapsed="false">
      <c r="A15" s="2" t="s">
        <v>13</v>
      </c>
    </row>
    <row r="16" customFormat="false" ht="45" hidden="false" customHeight="true" outlineLevel="0" collapsed="false">
      <c r="A16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4" t="s">
        <v>15</v>
      </c>
      <c r="B1" s="4"/>
      <c r="C1" s="4"/>
      <c r="D1" s="4"/>
      <c r="E1" s="4"/>
      <c r="F1" s="4"/>
      <c r="G1" s="4"/>
      <c r="H1" s="4"/>
    </row>
    <row r="2" customFormat="false" ht="22.35" hidden="false" customHeight="true" outlineLevel="0" collapsed="false">
      <c r="A2" s="5" t="s">
        <v>16</v>
      </c>
      <c r="B2" s="5"/>
      <c r="C2" s="5"/>
      <c r="D2" s="5"/>
      <c r="E2" s="5"/>
      <c r="F2" s="5"/>
      <c r="G2" s="5"/>
      <c r="H2" s="5"/>
    </row>
    <row r="4" customFormat="false" ht="19.5" hidden="false" customHeight="true" outlineLevel="0" collapsed="false">
      <c r="A4" s="6" t="s">
        <v>17</v>
      </c>
      <c r="B4" s="6"/>
      <c r="C4" s="6"/>
      <c r="D4" s="6"/>
      <c r="E4" s="6"/>
      <c r="F4" s="6"/>
      <c r="G4" s="6"/>
      <c r="H4" s="6"/>
    </row>
    <row r="5" customFormat="false" ht="30" hidden="false" customHeight="true" outlineLevel="0" collapsed="false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</row>
    <row r="6" customFormat="false" ht="15" hidden="false" customHeight="false" outlineLevel="0" collapsed="false">
      <c r="A6" s="8" t="n">
        <v>1</v>
      </c>
      <c r="B6" s="9" t="s">
        <v>26</v>
      </c>
      <c r="C6" s="9" t="s">
        <v>27</v>
      </c>
      <c r="D6" s="10" t="n">
        <v>40</v>
      </c>
      <c r="E6" s="11" t="n">
        <v>6</v>
      </c>
      <c r="F6" s="12" t="n">
        <f aca="false">D6*E6</f>
        <v>240</v>
      </c>
      <c r="G6" s="13" t="n">
        <v>0.9</v>
      </c>
      <c r="H6" s="14" t="n">
        <f aca="false">F6*G6</f>
        <v>216</v>
      </c>
    </row>
    <row r="7" customFormat="false" ht="15" hidden="false" customHeight="false" outlineLevel="0" collapsed="false">
      <c r="A7" s="15" t="n">
        <v>2</v>
      </c>
      <c r="B7" s="16" t="s">
        <v>28</v>
      </c>
      <c r="C7" s="16" t="s">
        <v>27</v>
      </c>
      <c r="D7" s="17" t="n">
        <v>8</v>
      </c>
      <c r="E7" s="18" t="n">
        <v>15</v>
      </c>
      <c r="F7" s="19" t="n">
        <f aca="false">D7*E7</f>
        <v>120</v>
      </c>
      <c r="G7" s="13" t="n">
        <v>0.9</v>
      </c>
      <c r="H7" s="20" t="n">
        <f aca="false">F7*G7</f>
        <v>108</v>
      </c>
    </row>
    <row r="8" customFormat="false" ht="15" hidden="false" customHeight="false" outlineLevel="0" collapsed="false">
      <c r="A8" s="8" t="n">
        <v>3</v>
      </c>
      <c r="B8" s="9" t="s">
        <v>29</v>
      </c>
      <c r="C8" s="9" t="s">
        <v>30</v>
      </c>
      <c r="D8" s="10" t="n">
        <v>6</v>
      </c>
      <c r="E8" s="11" t="n">
        <v>35</v>
      </c>
      <c r="F8" s="12" t="n">
        <f aca="false">D8*E8</f>
        <v>210</v>
      </c>
      <c r="G8" s="13" t="n">
        <v>0.8</v>
      </c>
      <c r="H8" s="14" t="n">
        <f aca="false">F8*G8</f>
        <v>168</v>
      </c>
    </row>
    <row r="9" customFormat="false" ht="15" hidden="false" customHeight="false" outlineLevel="0" collapsed="false">
      <c r="A9" s="15" t="n">
        <v>4</v>
      </c>
      <c r="B9" s="16" t="s">
        <v>31</v>
      </c>
      <c r="C9" s="16" t="s">
        <v>30</v>
      </c>
      <c r="D9" s="17" t="n">
        <v>2</v>
      </c>
      <c r="E9" s="18" t="n">
        <v>90</v>
      </c>
      <c r="F9" s="19" t="n">
        <f aca="false">D9*E9</f>
        <v>180</v>
      </c>
      <c r="G9" s="13" t="n">
        <v>0.7</v>
      </c>
      <c r="H9" s="20" t="n">
        <f aca="false">F9*G9</f>
        <v>126</v>
      </c>
    </row>
    <row r="10" customFormat="false" ht="15" hidden="false" customHeight="false" outlineLevel="0" collapsed="false">
      <c r="A10" s="8" t="n">
        <v>5</v>
      </c>
      <c r="B10" s="9" t="s">
        <v>32</v>
      </c>
      <c r="C10" s="9" t="s">
        <v>33</v>
      </c>
      <c r="D10" s="10" t="n">
        <v>1</v>
      </c>
      <c r="E10" s="11" t="n">
        <v>12</v>
      </c>
      <c r="F10" s="12" t="n">
        <f aca="false">D10*E10</f>
        <v>12</v>
      </c>
      <c r="G10" s="13" t="n">
        <v>0.9</v>
      </c>
      <c r="H10" s="14" t="n">
        <f aca="false">F10*G10</f>
        <v>10.8</v>
      </c>
    </row>
    <row r="11" customFormat="false" ht="15" hidden="false" customHeight="false" outlineLevel="0" collapsed="false">
      <c r="A11" s="15" t="n">
        <v>6</v>
      </c>
      <c r="B11" s="16" t="s">
        <v>34</v>
      </c>
      <c r="C11" s="16" t="s">
        <v>33</v>
      </c>
      <c r="D11" s="17" t="n">
        <v>1</v>
      </c>
      <c r="E11" s="18" t="n">
        <v>3</v>
      </c>
      <c r="F11" s="19" t="n">
        <f aca="false">D11*E11</f>
        <v>3</v>
      </c>
      <c r="G11" s="13" t="n">
        <v>1</v>
      </c>
      <c r="H11" s="20" t="n">
        <f aca="false">F11*G11</f>
        <v>3</v>
      </c>
    </row>
    <row r="12" customFormat="false" ht="15" hidden="false" customHeight="false" outlineLevel="0" collapsed="false">
      <c r="A12" s="8" t="n">
        <v>7</v>
      </c>
      <c r="B12" s="9" t="s">
        <v>35</v>
      </c>
      <c r="C12" s="9" t="s">
        <v>36</v>
      </c>
      <c r="D12" s="10" t="n">
        <v>1</v>
      </c>
      <c r="E12" s="11" t="n">
        <v>25</v>
      </c>
      <c r="F12" s="12" t="n">
        <f aca="false">D12*E12</f>
        <v>25</v>
      </c>
      <c r="G12" s="13" t="n">
        <v>1</v>
      </c>
      <c r="H12" s="14" t="n">
        <f aca="false">F12*G12</f>
        <v>25</v>
      </c>
    </row>
    <row r="13" customFormat="false" ht="15" hidden="false" customHeight="false" outlineLevel="0" collapsed="false">
      <c r="A13" s="15" t="n">
        <v>8</v>
      </c>
      <c r="B13" s="16" t="s">
        <v>37</v>
      </c>
      <c r="C13" s="16" t="s">
        <v>38</v>
      </c>
      <c r="D13" s="17" t="n">
        <v>1</v>
      </c>
      <c r="E13" s="18" t="n">
        <v>8</v>
      </c>
      <c r="F13" s="19" t="n">
        <f aca="false">D13*E13</f>
        <v>8</v>
      </c>
      <c r="G13" s="13" t="n">
        <v>1</v>
      </c>
      <c r="H13" s="20" t="n">
        <f aca="false">F13*G13</f>
        <v>8</v>
      </c>
    </row>
    <row r="14" customFormat="false" ht="15" hidden="false" customHeight="false" outlineLevel="0" collapsed="false">
      <c r="A14" s="8" t="n">
        <v>9</v>
      </c>
      <c r="B14" s="9" t="s">
        <v>39</v>
      </c>
      <c r="C14" s="9" t="s">
        <v>40</v>
      </c>
      <c r="D14" s="10" t="n">
        <v>1</v>
      </c>
      <c r="E14" s="11" t="n">
        <v>22</v>
      </c>
      <c r="F14" s="12" t="n">
        <f aca="false">D14*E14</f>
        <v>22</v>
      </c>
      <c r="G14" s="13" t="n">
        <v>0.3</v>
      </c>
      <c r="H14" s="14" t="n">
        <f aca="false">F14*G14</f>
        <v>6.6</v>
      </c>
    </row>
    <row r="15" customFormat="false" ht="15" hidden="false" customHeight="false" outlineLevel="0" collapsed="false">
      <c r="A15" s="15" t="n">
        <v>10</v>
      </c>
      <c r="B15" s="16" t="s">
        <v>41</v>
      </c>
      <c r="C15" s="16" t="s">
        <v>42</v>
      </c>
      <c r="D15" s="17" t="n">
        <v>1</v>
      </c>
      <c r="E15" s="18" t="n">
        <v>15</v>
      </c>
      <c r="F15" s="19" t="n">
        <f aca="false">D15*E15</f>
        <v>15</v>
      </c>
      <c r="G15" s="13" t="n">
        <v>0.7</v>
      </c>
      <c r="H15" s="20" t="n">
        <f aca="false">F15*G15</f>
        <v>10.5</v>
      </c>
    </row>
    <row r="16" customFormat="false" ht="15" hidden="false" customHeight="false" outlineLevel="0" collapsed="false">
      <c r="A16" s="8" t="n">
        <v>11</v>
      </c>
      <c r="B16" s="9" t="s">
        <v>43</v>
      </c>
      <c r="C16" s="9" t="s">
        <v>42</v>
      </c>
      <c r="D16" s="10" t="n">
        <v>1</v>
      </c>
      <c r="E16" s="11" t="n">
        <v>6</v>
      </c>
      <c r="F16" s="12" t="n">
        <f aca="false">D16*E16</f>
        <v>6</v>
      </c>
      <c r="G16" s="13" t="n">
        <v>0.9</v>
      </c>
      <c r="H16" s="14" t="n">
        <f aca="false">F16*G16</f>
        <v>5.4</v>
      </c>
    </row>
    <row r="17" customFormat="false" ht="15" hidden="false" customHeight="false" outlineLevel="0" collapsed="false">
      <c r="A17" s="15" t="n">
        <v>12</v>
      </c>
      <c r="B17" s="16" t="s">
        <v>44</v>
      </c>
      <c r="C17" s="16" t="s">
        <v>42</v>
      </c>
      <c r="D17" s="17" t="n">
        <v>1</v>
      </c>
      <c r="E17" s="18" t="n">
        <v>11</v>
      </c>
      <c r="F17" s="19" t="n">
        <f aca="false">D17*E17</f>
        <v>11</v>
      </c>
      <c r="G17" s="13" t="n">
        <v>0.4</v>
      </c>
      <c r="H17" s="20" t="n">
        <f aca="false">F17*G17</f>
        <v>4.4</v>
      </c>
    </row>
    <row r="18" customFormat="false" ht="15" hidden="false" customHeight="false" outlineLevel="0" collapsed="false">
      <c r="A18" s="8" t="n">
        <v>13</v>
      </c>
      <c r="B18" s="9" t="s">
        <v>45</v>
      </c>
      <c r="C18" s="9" t="s">
        <v>42</v>
      </c>
      <c r="D18" s="10" t="n">
        <v>1</v>
      </c>
      <c r="E18" s="11" t="n">
        <v>10</v>
      </c>
      <c r="F18" s="12" t="n">
        <f aca="false">D18*E18</f>
        <v>10</v>
      </c>
      <c r="G18" s="13" t="n">
        <v>1</v>
      </c>
      <c r="H18" s="14" t="n">
        <f aca="false">F18*G18</f>
        <v>10</v>
      </c>
    </row>
    <row r="19" customFormat="false" ht="15" hidden="false" customHeight="false" outlineLevel="0" collapsed="false">
      <c r="A19" s="21"/>
      <c r="B19" s="22" t="s">
        <v>46</v>
      </c>
      <c r="C19" s="22"/>
      <c r="D19" s="22"/>
      <c r="E19" s="22"/>
      <c r="F19" s="20" t="n">
        <f aca="false">SUM(F6:F18)</f>
        <v>862</v>
      </c>
      <c r="G19" s="21"/>
      <c r="H19" s="20" t="n">
        <f aca="false">SUM(H6:H18)</f>
        <v>701.7</v>
      </c>
    </row>
    <row r="21" customFormat="false" ht="19.5" hidden="false" customHeight="true" outlineLevel="0" collapsed="false">
      <c r="A21" s="6" t="s">
        <v>47</v>
      </c>
      <c r="B21" s="6"/>
      <c r="C21" s="6"/>
      <c r="D21" s="6"/>
      <c r="E21" s="6"/>
      <c r="F21" s="6"/>
      <c r="G21" s="6"/>
      <c r="H21" s="6"/>
    </row>
    <row r="23" customFormat="false" ht="15" hidden="false" customHeight="false" outlineLevel="0" collapsed="false">
      <c r="A23" s="23" t="s">
        <v>48</v>
      </c>
      <c r="B23" s="23"/>
      <c r="C23" s="23"/>
      <c r="D23" s="23"/>
      <c r="E23" s="23"/>
      <c r="F23" s="24" t="n">
        <f aca="false">F19</f>
        <v>862</v>
      </c>
    </row>
    <row r="24" customFormat="false" ht="15" hidden="false" customHeight="false" outlineLevel="0" collapsed="false">
      <c r="A24" s="23" t="s">
        <v>49</v>
      </c>
      <c r="B24" s="23"/>
      <c r="C24" s="23"/>
      <c r="D24" s="23"/>
      <c r="E24" s="23"/>
      <c r="F24" s="24" t="n">
        <f aca="false">H19</f>
        <v>701.7</v>
      </c>
    </row>
    <row r="25" customFormat="false" ht="15" hidden="false" customHeight="false" outlineLevel="0" collapsed="false">
      <c r="A25" s="23" t="s">
        <v>50</v>
      </c>
      <c r="B25" s="23"/>
      <c r="C25" s="23"/>
      <c r="D25" s="23"/>
      <c r="E25" s="23"/>
      <c r="F25" s="24" t="n">
        <f aca="false">SUMIF(C6:C18,"IT Load",H6:H18)</f>
        <v>324</v>
      </c>
    </row>
    <row r="26" customFormat="false" ht="15" hidden="false" customHeight="false" outlineLevel="0" collapsed="false">
      <c r="A26" s="23" t="s">
        <v>51</v>
      </c>
      <c r="B26" s="23"/>
      <c r="C26" s="23"/>
      <c r="D26" s="23"/>
      <c r="E26" s="23"/>
      <c r="F26" s="25" t="n">
        <v>1.6</v>
      </c>
    </row>
    <row r="27" customFormat="false" ht="15" hidden="false" customHeight="false" outlineLevel="0" collapsed="false">
      <c r="A27" s="23" t="s">
        <v>52</v>
      </c>
      <c r="B27" s="23"/>
      <c r="C27" s="23"/>
      <c r="D27" s="23"/>
      <c r="E27" s="23"/>
      <c r="F27" s="24" t="n">
        <f aca="false">F25*F26</f>
        <v>518.4</v>
      </c>
    </row>
    <row r="28" customFormat="false" ht="15" hidden="false" customHeight="true" outlineLevel="0" collapsed="false">
      <c r="A28" s="5" t="s">
        <v>53</v>
      </c>
      <c r="B28" s="5"/>
      <c r="C28" s="5"/>
      <c r="D28" s="5"/>
      <c r="E28" s="5"/>
      <c r="F28" s="5"/>
      <c r="G28" s="5"/>
      <c r="H28" s="5"/>
    </row>
    <row r="30" customFormat="false" ht="19.5" hidden="false" customHeight="true" outlineLevel="0" collapsed="false">
      <c r="A30" s="6" t="s">
        <v>54</v>
      </c>
      <c r="B30" s="6"/>
      <c r="C30" s="6"/>
      <c r="D30" s="6"/>
      <c r="E30" s="6"/>
      <c r="F30" s="6"/>
      <c r="G30" s="6"/>
      <c r="H30" s="6"/>
    </row>
    <row r="32" customFormat="false" ht="15" hidden="false" customHeight="false" outlineLevel="0" collapsed="false">
      <c r="A32" s="23" t="s">
        <v>55</v>
      </c>
      <c r="B32" s="23"/>
      <c r="C32" s="23"/>
      <c r="D32" s="23"/>
      <c r="E32" s="23"/>
      <c r="F32" s="24" t="n">
        <f aca="false">H19</f>
        <v>701.7</v>
      </c>
    </row>
    <row r="33" customFormat="false" ht="15" hidden="false" customHeight="false" outlineLevel="0" collapsed="false">
      <c r="A33" s="23" t="s">
        <v>56</v>
      </c>
      <c r="B33" s="23"/>
      <c r="C33" s="23"/>
      <c r="D33" s="23"/>
      <c r="E33" s="23"/>
      <c r="F33" s="26" t="n">
        <v>0.25</v>
      </c>
    </row>
    <row r="34" customFormat="false" ht="15" hidden="false" customHeight="false" outlineLevel="0" collapsed="false">
      <c r="A34" s="23" t="s">
        <v>57</v>
      </c>
      <c r="B34" s="23"/>
      <c r="C34" s="23"/>
      <c r="D34" s="23"/>
      <c r="E34" s="23"/>
      <c r="F34" s="25" t="n">
        <v>0.8</v>
      </c>
    </row>
    <row r="35" customFormat="false" ht="15" hidden="false" customHeight="false" outlineLevel="0" collapsed="false">
      <c r="A35" s="23" t="s">
        <v>58</v>
      </c>
      <c r="B35" s="23"/>
      <c r="C35" s="23"/>
      <c r="D35" s="23"/>
      <c r="E35" s="23"/>
      <c r="F35" s="24" t="n">
        <f aca="false">F32*(1+F33)/F34</f>
        <v>1096.40625</v>
      </c>
    </row>
    <row r="38" customFormat="false" ht="19.5" hidden="false" customHeight="true" outlineLevel="0" collapsed="false">
      <c r="A38" s="6" t="s">
        <v>59</v>
      </c>
      <c r="B38" s="6"/>
      <c r="C38" s="6"/>
      <c r="D38" s="6"/>
      <c r="E38" s="6"/>
      <c r="F38" s="6"/>
      <c r="G38" s="6"/>
      <c r="H38" s="6"/>
    </row>
    <row r="40" customFormat="false" ht="15" hidden="false" customHeight="false" outlineLevel="0" collapsed="false">
      <c r="A40" s="23" t="s">
        <v>60</v>
      </c>
      <c r="B40" s="23"/>
      <c r="C40" s="23"/>
      <c r="D40" s="23"/>
      <c r="E40" s="23"/>
      <c r="F40" s="24" t="n">
        <f aca="false">H19</f>
        <v>701.7</v>
      </c>
    </row>
    <row r="41" customFormat="false" ht="15" hidden="false" customHeight="false" outlineLevel="0" collapsed="false">
      <c r="A41" s="23" t="s">
        <v>61</v>
      </c>
      <c r="B41" s="23"/>
      <c r="C41" s="23"/>
      <c r="D41" s="23"/>
      <c r="E41" s="23"/>
      <c r="F41" s="26" t="n">
        <v>0.4</v>
      </c>
    </row>
    <row r="42" customFormat="false" ht="15" hidden="false" customHeight="false" outlineLevel="0" collapsed="false">
      <c r="A42" s="23" t="s">
        <v>62</v>
      </c>
      <c r="B42" s="23"/>
      <c r="C42" s="23"/>
      <c r="D42" s="23"/>
      <c r="E42" s="23"/>
      <c r="F42" s="25" t="n">
        <v>0.8</v>
      </c>
    </row>
    <row r="43" customFormat="false" ht="15" hidden="false" customHeight="false" outlineLevel="0" collapsed="false">
      <c r="A43" s="23" t="s">
        <v>63</v>
      </c>
      <c r="B43" s="23"/>
      <c r="C43" s="23"/>
      <c r="D43" s="23"/>
      <c r="E43" s="23"/>
      <c r="F43" s="24" t="n">
        <f aca="false">F40*(1+F41)/F42</f>
        <v>1227.975</v>
      </c>
    </row>
    <row r="44" customFormat="false" ht="15" hidden="false" customHeight="true" outlineLevel="0" collapsed="false">
      <c r="A44" s="5" t="s">
        <v>64</v>
      </c>
      <c r="B44" s="5"/>
      <c r="C44" s="5"/>
      <c r="D44" s="5"/>
      <c r="E44" s="5"/>
      <c r="F44" s="5"/>
      <c r="G44" s="5"/>
      <c r="H44" s="5"/>
    </row>
    <row r="46" customFormat="false" ht="19.5" hidden="false" customHeight="true" outlineLevel="0" collapsed="false">
      <c r="A46" s="6" t="s">
        <v>65</v>
      </c>
      <c r="B46" s="6"/>
      <c r="C46" s="6"/>
      <c r="D46" s="6"/>
      <c r="E46" s="6"/>
      <c r="F46" s="6"/>
      <c r="G46" s="6"/>
      <c r="H46" s="6"/>
    </row>
    <row r="48" customFormat="false" ht="15" hidden="false" customHeight="false" outlineLevel="0" collapsed="false">
      <c r="A48" s="23" t="s">
        <v>66</v>
      </c>
      <c r="B48" s="23"/>
      <c r="C48" s="23"/>
      <c r="D48" s="23"/>
      <c r="E48" s="23"/>
      <c r="F48" s="24" t="n">
        <f aca="false">F32</f>
        <v>701.7</v>
      </c>
    </row>
    <row r="49" customFormat="false" ht="15" hidden="false" customHeight="false" outlineLevel="0" collapsed="false">
      <c r="A49" s="23" t="s">
        <v>67</v>
      </c>
      <c r="B49" s="23"/>
      <c r="C49" s="23"/>
      <c r="D49" s="23"/>
      <c r="E49" s="23"/>
      <c r="F49" s="27" t="n">
        <v>15</v>
      </c>
    </row>
    <row r="50" customFormat="false" ht="15" hidden="false" customHeight="false" outlineLevel="0" collapsed="false">
      <c r="A50" s="23" t="s">
        <v>68</v>
      </c>
      <c r="B50" s="23"/>
      <c r="C50" s="23"/>
      <c r="D50" s="23"/>
      <c r="E50" s="23"/>
      <c r="F50" s="27" t="n">
        <v>480</v>
      </c>
    </row>
    <row r="51" customFormat="false" ht="15" hidden="false" customHeight="false" outlineLevel="0" collapsed="false">
      <c r="A51" s="23" t="s">
        <v>69</v>
      </c>
      <c r="B51" s="23"/>
      <c r="C51" s="23"/>
      <c r="D51" s="23"/>
      <c r="E51" s="23"/>
      <c r="F51" s="25" t="n">
        <v>0.92</v>
      </c>
    </row>
    <row r="52" customFormat="false" ht="15" hidden="false" customHeight="false" outlineLevel="0" collapsed="false">
      <c r="A52" s="23" t="s">
        <v>70</v>
      </c>
      <c r="B52" s="23"/>
      <c r="C52" s="23"/>
      <c r="D52" s="23"/>
      <c r="E52" s="23"/>
      <c r="F52" s="24" t="n">
        <f aca="false">(F48*1000*(F49/60))/(F50*F51)</f>
        <v>397.248641304348</v>
      </c>
    </row>
    <row r="53" customFormat="false" ht="22.35" hidden="false" customHeight="true" outlineLevel="0" collapsed="false">
      <c r="A53" s="5" t="s">
        <v>71</v>
      </c>
      <c r="B53" s="5"/>
      <c r="C53" s="5"/>
      <c r="D53" s="5"/>
      <c r="E53" s="5"/>
      <c r="F53" s="5"/>
      <c r="G53" s="5"/>
      <c r="H53" s="5"/>
    </row>
    <row r="55" customFormat="false" ht="22.35" hidden="false" customHeight="true" outlineLevel="0" collapsed="false">
      <c r="A55" s="5" t="s">
        <v>72</v>
      </c>
      <c r="B55" s="5"/>
      <c r="C55" s="5"/>
      <c r="D55" s="5"/>
      <c r="E55" s="5"/>
      <c r="F55" s="5"/>
      <c r="G55" s="5"/>
      <c r="H55" s="5"/>
    </row>
  </sheetData>
  <mergeCells count="30">
    <mergeCell ref="A1:H1"/>
    <mergeCell ref="A2:H2"/>
    <mergeCell ref="A4:H4"/>
    <mergeCell ref="B19:E19"/>
    <mergeCell ref="A21:H21"/>
    <mergeCell ref="A23:E23"/>
    <mergeCell ref="A24:E24"/>
    <mergeCell ref="A25:E25"/>
    <mergeCell ref="A26:E26"/>
    <mergeCell ref="A27:E27"/>
    <mergeCell ref="A28:H28"/>
    <mergeCell ref="A30:H30"/>
    <mergeCell ref="A32:E32"/>
    <mergeCell ref="A33:E33"/>
    <mergeCell ref="A34:E34"/>
    <mergeCell ref="A35:E35"/>
    <mergeCell ref="A38:H38"/>
    <mergeCell ref="A40:E40"/>
    <mergeCell ref="A41:E41"/>
    <mergeCell ref="A42:E42"/>
    <mergeCell ref="A43:E43"/>
    <mergeCell ref="A44:H44"/>
    <mergeCell ref="A46:H46"/>
    <mergeCell ref="A48:E48"/>
    <mergeCell ref="A49:E49"/>
    <mergeCell ref="A50:E50"/>
    <mergeCell ref="A51:E51"/>
    <mergeCell ref="A52:E52"/>
    <mergeCell ref="A53:H53"/>
    <mergeCell ref="A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2026-07-25T18:46:15Z</dcterms:created>
  <dc:creator>openpyxl</dc:creator>
  <dc:description/>
  <dc:language>en-US</dc:language>
  <cp:lastModifiedBy/>
  <dcterms:modified xsi:type="dcterms:W3CDTF">2026-07-25T18:46:15Z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